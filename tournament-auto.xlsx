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\Desktop\Deacons Duels\"/>
    </mc:Choice>
  </mc:AlternateContent>
  <xr:revisionPtr revIDLastSave="0" documentId="13_ncr:1_{12265987-D013-474F-810E-73F403654BAC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Overview" sheetId="1" r:id="rId1"/>
    <sheet name="Teams" sheetId="2" r:id="rId2"/>
    <sheet name="Pool_Play" sheetId="3" r:id="rId3"/>
    <sheet name="Standings" sheetId="4" r:id="rId4"/>
    <sheet name="Championship" sheetId="5" r:id="rId5"/>
    <sheet name="Bracket" sheetId="6" r:id="rId6"/>
    <sheet name="Schedu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C10" i="7"/>
  <c r="F9" i="7"/>
  <c r="C9" i="7"/>
  <c r="F8" i="7"/>
  <c r="C8" i="7"/>
  <c r="F7" i="7"/>
  <c r="C7" i="7"/>
  <c r="F6" i="7"/>
  <c r="C6" i="7"/>
  <c r="F5" i="7"/>
  <c r="C5" i="7"/>
  <c r="F4" i="7"/>
  <c r="C4" i="7"/>
  <c r="F3" i="7"/>
  <c r="C3" i="7"/>
  <c r="F2" i="7"/>
  <c r="C2" i="7"/>
  <c r="D15" i="6"/>
  <c r="C15" i="6"/>
  <c r="D13" i="6"/>
  <c r="C13" i="6"/>
  <c r="D12" i="6"/>
  <c r="C12" i="6"/>
  <c r="D10" i="6"/>
  <c r="C10" i="6"/>
  <c r="D8" i="6"/>
  <c r="C8" i="6"/>
  <c r="D7" i="6"/>
  <c r="C7" i="6"/>
  <c r="D5" i="6"/>
  <c r="C5" i="6"/>
  <c r="D4" i="6"/>
  <c r="C4" i="6"/>
  <c r="D3" i="6"/>
  <c r="C3" i="6"/>
  <c r="D2" i="6"/>
  <c r="C2" i="6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E19" i="3"/>
  <c r="G10" i="7" s="1"/>
  <c r="C19" i="3"/>
  <c r="G19" i="3" s="1"/>
  <c r="E18" i="3"/>
  <c r="D10" i="7" s="1"/>
  <c r="C18" i="3"/>
  <c r="B10" i="7" s="1"/>
  <c r="E17" i="3"/>
  <c r="G9" i="7" s="1"/>
  <c r="C17" i="3"/>
  <c r="G17" i="3" s="1"/>
  <c r="E16" i="3"/>
  <c r="D9" i="7" s="1"/>
  <c r="C16" i="3"/>
  <c r="B9" i="7" s="1"/>
  <c r="E15" i="3"/>
  <c r="G8" i="7" s="1"/>
  <c r="C15" i="3"/>
  <c r="E8" i="7" s="1"/>
  <c r="E14" i="3"/>
  <c r="D8" i="7" s="1"/>
  <c r="C14" i="3"/>
  <c r="B8" i="7" s="1"/>
  <c r="E13" i="3"/>
  <c r="G13" i="3" s="1"/>
  <c r="C13" i="3"/>
  <c r="E7" i="7" s="1"/>
  <c r="E12" i="3"/>
  <c r="G12" i="3" s="1"/>
  <c r="C12" i="3"/>
  <c r="B7" i="7" s="1"/>
  <c r="E11" i="3"/>
  <c r="G11" i="3" s="1"/>
  <c r="C11" i="3"/>
  <c r="E6" i="7" s="1"/>
  <c r="E10" i="3"/>
  <c r="D6" i="7" s="1"/>
  <c r="C10" i="3"/>
  <c r="B6" i="7" s="1"/>
  <c r="E9" i="3"/>
  <c r="G9" i="3" s="1"/>
  <c r="C9" i="3"/>
  <c r="E5" i="7" s="1"/>
  <c r="E8" i="3"/>
  <c r="D5" i="7" s="1"/>
  <c r="C8" i="3"/>
  <c r="B5" i="7" s="1"/>
  <c r="E7" i="3"/>
  <c r="G4" i="7" s="1"/>
  <c r="C7" i="3"/>
  <c r="E4" i="7" s="1"/>
  <c r="E6" i="3"/>
  <c r="D4" i="7" s="1"/>
  <c r="C6" i="3"/>
  <c r="G6" i="3" s="1"/>
  <c r="E5" i="3"/>
  <c r="G3" i="7" s="1"/>
  <c r="C5" i="3"/>
  <c r="E3" i="7" s="1"/>
  <c r="E4" i="3"/>
  <c r="D3" i="7" s="1"/>
  <c r="C4" i="3"/>
  <c r="B3" i="7" s="1"/>
  <c r="E3" i="3"/>
  <c r="G3" i="3" s="1"/>
  <c r="C3" i="3"/>
  <c r="E2" i="7" s="1"/>
  <c r="E2" i="3"/>
  <c r="D2" i="7" s="1"/>
  <c r="C2" i="3"/>
  <c r="G2" i="3" s="1"/>
  <c r="B4" i="1"/>
  <c r="B3" i="1"/>
  <c r="B2" i="1"/>
  <c r="G6" i="7" l="1"/>
  <c r="G16" i="3"/>
  <c r="E9" i="7"/>
  <c r="G4" i="3"/>
  <c r="G5" i="3"/>
  <c r="D7" i="7"/>
  <c r="G10" i="3"/>
  <c r="G7" i="7"/>
  <c r="E10" i="7"/>
  <c r="G5" i="7"/>
  <c r="G7" i="3"/>
  <c r="E9" i="4" s="1"/>
  <c r="B2" i="7"/>
  <c r="G2" i="7"/>
  <c r="G14" i="3"/>
  <c r="B4" i="7"/>
  <c r="G18" i="3"/>
  <c r="G15" i="3"/>
  <c r="G8" i="3"/>
  <c r="E2" i="4" l="1"/>
  <c r="D6" i="4"/>
  <c r="D9" i="4"/>
  <c r="F9" i="4" s="1"/>
  <c r="E14" i="4"/>
  <c r="E6" i="4"/>
  <c r="F6" i="4" s="1"/>
  <c r="D10" i="4"/>
  <c r="D5" i="4"/>
  <c r="E7" i="4"/>
  <c r="D4" i="4"/>
  <c r="D2" i="4"/>
  <c r="D12" i="4"/>
  <c r="D8" i="4"/>
  <c r="D3" i="4"/>
  <c r="D14" i="4"/>
  <c r="E13" i="4"/>
  <c r="E10" i="4"/>
  <c r="F10" i="4" s="1"/>
  <c r="D13" i="4"/>
  <c r="E15" i="4"/>
  <c r="E4" i="4"/>
  <c r="E5" i="4"/>
  <c r="F5" i="4" s="1"/>
  <c r="D7" i="4"/>
  <c r="E8" i="4"/>
  <c r="D15" i="4"/>
  <c r="D11" i="4"/>
  <c r="E12" i="4"/>
  <c r="E11" i="4"/>
  <c r="E3" i="4"/>
  <c r="F14" i="4" l="1"/>
  <c r="F2" i="4"/>
  <c r="F7" i="4"/>
  <c r="F13" i="4"/>
  <c r="F3" i="4"/>
  <c r="F15" i="4"/>
  <c r="F4" i="4"/>
  <c r="F12" i="4"/>
  <c r="F11" i="4"/>
  <c r="H11" i="4" s="1"/>
  <c r="I11" i="4" s="1"/>
  <c r="F8" i="4"/>
  <c r="H8" i="4" s="1"/>
  <c r="I8" i="4" s="1"/>
  <c r="H4" i="4" l="1"/>
  <c r="I4" i="4" s="1"/>
  <c r="H9" i="4"/>
  <c r="I9" i="4" s="1"/>
  <c r="H5" i="4"/>
  <c r="I5" i="4" s="1"/>
  <c r="H6" i="4"/>
  <c r="I6" i="4" s="1"/>
  <c r="H3" i="4"/>
  <c r="I3" i="4" s="1"/>
  <c r="H12" i="4"/>
  <c r="I12" i="4" s="1"/>
  <c r="H15" i="4"/>
  <c r="I15" i="4" s="1"/>
  <c r="H13" i="4"/>
  <c r="I13" i="4" s="1"/>
  <c r="H14" i="4"/>
  <c r="I14" i="4" s="1"/>
  <c r="H2" i="4"/>
  <c r="I2" i="4" s="1"/>
  <c r="H7" i="4"/>
  <c r="I7" i="4" s="1"/>
  <c r="A18" i="6" s="1"/>
  <c r="H10" i="4"/>
  <c r="I10" i="4" s="1"/>
  <c r="C2" i="5" s="1"/>
  <c r="C5" i="5"/>
  <c r="A19" i="6" l="1"/>
  <c r="E4" i="5"/>
  <c r="A17" i="6"/>
  <c r="C4" i="5"/>
  <c r="B17" i="6"/>
  <c r="E3" i="5"/>
  <c r="G3" i="5" s="1"/>
  <c r="E6" i="5" s="1"/>
  <c r="E2" i="5"/>
  <c r="B19" i="6"/>
  <c r="C3" i="5"/>
  <c r="H3" i="5" s="1"/>
  <c r="E7" i="5" s="1"/>
  <c r="E5" i="5"/>
  <c r="B5" i="6" s="1"/>
  <c r="B18" i="6"/>
  <c r="H5" i="5"/>
  <c r="E9" i="5" s="1"/>
  <c r="A5" i="6"/>
  <c r="G5" i="5"/>
  <c r="E8" i="5" s="1"/>
  <c r="A3" i="6"/>
  <c r="B4" i="6"/>
  <c r="H4" i="5"/>
  <c r="C9" i="5" s="1"/>
  <c r="A2" i="6"/>
  <c r="H2" i="5"/>
  <c r="C7" i="5" s="1"/>
  <c r="B2" i="6"/>
  <c r="G2" i="5"/>
  <c r="C6" i="5" s="1"/>
  <c r="A4" i="6"/>
  <c r="G4" i="5"/>
  <c r="C8" i="5" s="1"/>
  <c r="B3" i="6" l="1"/>
  <c r="H6" i="5"/>
  <c r="B7" i="6"/>
  <c r="G7" i="5"/>
  <c r="C10" i="5" s="1"/>
  <c r="B12" i="6"/>
  <c r="A7" i="6"/>
  <c r="G6" i="5"/>
  <c r="C11" i="5" s="1"/>
  <c r="A13" i="6"/>
  <c r="G9" i="5"/>
  <c r="E10" i="5" s="1"/>
  <c r="H9" i="5"/>
  <c r="B13" i="6"/>
  <c r="A8" i="6"/>
  <c r="G8" i="5"/>
  <c r="E11" i="5" s="1"/>
  <c r="A12" i="6"/>
  <c r="H7" i="5"/>
  <c r="B8" i="6"/>
  <c r="H8" i="5"/>
  <c r="A10" i="6" l="1"/>
  <c r="H11" i="5"/>
  <c r="H10" i="5"/>
  <c r="B15" i="6"/>
  <c r="B10" i="6"/>
  <c r="G11" i="5"/>
  <c r="G10" i="5"/>
  <c r="A15" i="6"/>
</calcChain>
</file>

<file path=xl/sharedStrings.xml><?xml version="1.0" encoding="utf-8"?>
<sst xmlns="http://schemas.openxmlformats.org/spreadsheetml/2006/main" count="196" uniqueCount="108">
  <si>
    <t>Metric</t>
  </si>
  <si>
    <t>Value</t>
  </si>
  <si>
    <t>Total Matches</t>
  </si>
  <si>
    <t>Pool Play</t>
  </si>
  <si>
    <t>Championship</t>
  </si>
  <si>
    <t>Estimated Finish</t>
  </si>
  <si>
    <t>4:30 PM</t>
  </si>
  <si>
    <t>Team</t>
  </si>
  <si>
    <t>Pool</t>
  </si>
  <si>
    <t>Seed</t>
  </si>
  <si>
    <t>Wake Forest</t>
  </si>
  <si>
    <t>A</t>
  </si>
  <si>
    <t>A1</t>
  </si>
  <si>
    <t>Durham Storm</t>
  </si>
  <si>
    <t>A2</t>
  </si>
  <si>
    <t>Raleigh Raptors</t>
  </si>
  <si>
    <t>A3</t>
  </si>
  <si>
    <t>Greensboro Grit</t>
  </si>
  <si>
    <t>B</t>
  </si>
  <si>
    <t>B1</t>
  </si>
  <si>
    <t>Chapel Hill Blues</t>
  </si>
  <si>
    <t>B2</t>
  </si>
  <si>
    <t>Triad Titans</t>
  </si>
  <si>
    <t>B3</t>
  </si>
  <si>
    <t>Charlotte Flyers</t>
  </si>
  <si>
    <t>C</t>
  </si>
  <si>
    <t>C1</t>
  </si>
  <si>
    <t>Cary Cobras</t>
  </si>
  <si>
    <t>C2</t>
  </si>
  <si>
    <t>Fayetteville Foxes</t>
  </si>
  <si>
    <t>C3</t>
  </si>
  <si>
    <t>Hickory Hounds</t>
  </si>
  <si>
    <t>C4</t>
  </si>
  <si>
    <t>Asheville Arrows</t>
  </si>
  <si>
    <t>D</t>
  </si>
  <si>
    <t>D1</t>
  </si>
  <si>
    <t>Wilmington Waves</t>
  </si>
  <si>
    <t>D2</t>
  </si>
  <si>
    <t>High Point Hawks</t>
  </si>
  <si>
    <t>D3</t>
  </si>
  <si>
    <t>Outer Banks Orcas</t>
  </si>
  <si>
    <t>D4</t>
  </si>
  <si>
    <t>Time</t>
  </si>
  <si>
    <t>Field</t>
  </si>
  <si>
    <t>Team 1</t>
  </si>
  <si>
    <t>Score 1</t>
  </si>
  <si>
    <t>Team 2</t>
  </si>
  <si>
    <t>Score 2</t>
  </si>
  <si>
    <t>Winner</t>
  </si>
  <si>
    <t>9:00 AM</t>
  </si>
  <si>
    <t>Field 1</t>
  </si>
  <si>
    <t>Field 2</t>
  </si>
  <si>
    <t>9:21 AM</t>
  </si>
  <si>
    <t>9:42 AM</t>
  </si>
  <si>
    <t>10:03 AM</t>
  </si>
  <si>
    <t>10:24 AM</t>
  </si>
  <si>
    <t>10:45 AM</t>
  </si>
  <si>
    <t>11:06 AM</t>
  </si>
  <si>
    <t>11:27 AM</t>
  </si>
  <si>
    <t>11:48 AM</t>
  </si>
  <si>
    <t>Wins</t>
  </si>
  <si>
    <t>Draws</t>
  </si>
  <si>
    <t>Points</t>
  </si>
  <si>
    <t>SeedNum</t>
  </si>
  <si>
    <t>Rank</t>
  </si>
  <si>
    <t>PosKey</t>
  </si>
  <si>
    <t>Match</t>
  </si>
  <si>
    <t>Loser</t>
  </si>
  <si>
    <t>12:39 PM</t>
  </si>
  <si>
    <t>QF1</t>
  </si>
  <si>
    <t>1:00 PM</t>
  </si>
  <si>
    <t>QF2</t>
  </si>
  <si>
    <t>1:21 PM</t>
  </si>
  <si>
    <t>QF3</t>
  </si>
  <si>
    <t>1:42 PM</t>
  </si>
  <si>
    <t>QF4</t>
  </si>
  <si>
    <t>2:03 PM</t>
  </si>
  <si>
    <t>SF1</t>
  </si>
  <si>
    <t>2:24 PM</t>
  </si>
  <si>
    <t>EC1</t>
  </si>
  <si>
    <t>2:45 PM</t>
  </si>
  <si>
    <t>SF2</t>
  </si>
  <si>
    <t>3:06 PM</t>
  </si>
  <si>
    <t>EC2</t>
  </si>
  <si>
    <t>4:09 PM</t>
  </si>
  <si>
    <t>EC Final</t>
  </si>
  <si>
    <t>Final</t>
  </si>
  <si>
    <t>Quarterfinals</t>
  </si>
  <si>
    <t>Semifinals</t>
  </si>
  <si>
    <t>Consolation Elite</t>
  </si>
  <si>
    <t>Elite Consolation Championship</t>
  </si>
  <si>
    <t>Consolation Development</t>
  </si>
  <si>
    <t>F1 Team1</t>
  </si>
  <si>
    <t>F1 Score</t>
  </si>
  <si>
    <t>F1 Team2</t>
  </si>
  <si>
    <t>F2 Team1</t>
  </si>
  <si>
    <t>F2 Score</t>
  </si>
  <si>
    <t>F2 Team2</t>
  </si>
  <si>
    <t>Duke</t>
  </si>
  <si>
    <t>Vtech A</t>
  </si>
  <si>
    <t>Clemson A</t>
  </si>
  <si>
    <t>Appstate</t>
  </si>
  <si>
    <t>Emory and Henry</t>
  </si>
  <si>
    <t>WFU</t>
  </si>
  <si>
    <t>Vtech B</t>
  </si>
  <si>
    <t>Clemson B</t>
  </si>
  <si>
    <t>Elon</t>
  </si>
  <si>
    <t>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</si>
</sst>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9" customWidth="1"/>
    <col min="2" max="2" width="4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f>COUNTA(Schedule!A2:A200)+COUNTA(Championship!A2:A200)</f>
        <v>19</v>
      </c>
    </row>
    <row r="3" spans="1:2" x14ac:dyDescent="0.25">
      <c r="A3" t="s">
        <v>3</v>
      </c>
      <c r="B3">
        <f>COUNTA(Schedule!A2:A200)</f>
        <v>9</v>
      </c>
    </row>
    <row r="4" spans="1:2" x14ac:dyDescent="0.25">
      <c r="A4" t="s">
        <v>4</v>
      </c>
      <c r="B4">
        <f>COUNTA(Championship!A2:A200)</f>
        <v>10</v>
      </c>
    </row>
    <row r="5" spans="1:2" x14ac:dyDescent="0.25">
      <c r="A5" t="s">
        <v>5</v>
      </c>
      <c r="B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G15" sqref="G15"/>
    </sheetView>
  </sheetViews>
  <sheetFormatPr defaultRowHeight="15" x14ac:dyDescent="0.25"/>
  <cols>
    <col min="1" max="1" width="21" customWidth="1"/>
    <col min="2" max="3" width="12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98</v>
      </c>
      <c r="B2" t="s">
        <v>11</v>
      </c>
      <c r="C2" t="s">
        <v>12</v>
      </c>
    </row>
    <row r="3" spans="1:3" x14ac:dyDescent="0.25">
      <c r="A3" t="s">
        <v>99</v>
      </c>
      <c r="B3" t="s">
        <v>11</v>
      </c>
      <c r="C3" t="s">
        <v>14</v>
      </c>
    </row>
    <row r="4" spans="1:3" x14ac:dyDescent="0.25">
      <c r="A4" t="s">
        <v>100</v>
      </c>
      <c r="B4" t="s">
        <v>11</v>
      </c>
      <c r="C4" t="s">
        <v>16</v>
      </c>
    </row>
    <row r="5" spans="1:3" x14ac:dyDescent="0.25">
      <c r="A5" t="s">
        <v>17</v>
      </c>
      <c r="B5" t="s">
        <v>18</v>
      </c>
      <c r="C5" t="s">
        <v>19</v>
      </c>
    </row>
    <row r="6" spans="1:3" x14ac:dyDescent="0.25">
      <c r="A6" t="s">
        <v>20</v>
      </c>
      <c r="B6" t="s">
        <v>18</v>
      </c>
      <c r="C6" t="s">
        <v>21</v>
      </c>
    </row>
    <row r="7" spans="1:3" x14ac:dyDescent="0.25">
      <c r="A7" t="s">
        <v>22</v>
      </c>
      <c r="B7" t="s">
        <v>18</v>
      </c>
      <c r="C7" t="s">
        <v>23</v>
      </c>
    </row>
    <row r="8" spans="1:3" x14ac:dyDescent="0.25">
      <c r="A8" t="s">
        <v>101</v>
      </c>
      <c r="B8" t="s">
        <v>25</v>
      </c>
      <c r="C8" t="s">
        <v>26</v>
      </c>
    </row>
    <row r="9" spans="1:3" x14ac:dyDescent="0.25">
      <c r="A9" t="s">
        <v>102</v>
      </c>
      <c r="B9" t="s">
        <v>25</v>
      </c>
      <c r="C9" t="s">
        <v>28</v>
      </c>
    </row>
    <row r="10" spans="1:3" x14ac:dyDescent="0.25">
      <c r="A10" t="s">
        <v>103</v>
      </c>
      <c r="B10" t="s">
        <v>25</v>
      </c>
      <c r="C10" t="s">
        <v>30</v>
      </c>
    </row>
    <row r="11" spans="1:3" x14ac:dyDescent="0.25">
      <c r="A11" t="s">
        <v>104</v>
      </c>
      <c r="B11" t="s">
        <v>25</v>
      </c>
      <c r="C11" t="s">
        <v>32</v>
      </c>
    </row>
    <row r="12" spans="1:3" x14ac:dyDescent="0.25">
      <c r="A12" t="s">
        <v>105</v>
      </c>
      <c r="B12" t="s">
        <v>34</v>
      </c>
      <c r="C12" t="s">
        <v>35</v>
      </c>
    </row>
    <row r="13" spans="1:3" x14ac:dyDescent="0.25">
      <c r="A13" t="s">
        <v>106</v>
      </c>
      <c r="B13" t="s">
        <v>34</v>
      </c>
      <c r="C13" t="s">
        <v>37</v>
      </c>
    </row>
    <row r="14" spans="1:3" x14ac:dyDescent="0.25">
      <c r="A14" t="s">
        <v>107</v>
      </c>
      <c r="B14" t="s">
        <v>34</v>
      </c>
      <c r="C14" t="s">
        <v>39</v>
      </c>
    </row>
    <row r="15" spans="1:3" x14ac:dyDescent="0.25">
      <c r="A15" t="s">
        <v>40</v>
      </c>
      <c r="B15" t="s">
        <v>34</v>
      </c>
      <c r="C15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cols>
    <col min="1" max="2" width="12" customWidth="1"/>
    <col min="3" max="3" width="42" customWidth="1"/>
    <col min="4" max="4" width="12" customWidth="1"/>
    <col min="5" max="5" width="42" customWidth="1"/>
    <col min="6" max="6" width="12" customWidth="1"/>
    <col min="7" max="7" width="42" customWidth="1"/>
  </cols>
  <sheetData>
    <row r="1" spans="1:7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 t="s">
        <v>49</v>
      </c>
      <c r="B2" t="s">
        <v>50</v>
      </c>
      <c r="C2" t="str">
        <f>IFERROR(INDEX(Teams!A:A,MATCH("A1",Teams!C:C,0)),"A1")</f>
        <v>Duke</v>
      </c>
      <c r="D2">
        <v>27</v>
      </c>
      <c r="E2" t="str">
        <f>IFERROR(INDEX(Teams!A:A,MATCH("A2",Teams!C:C,0)),"A2")</f>
        <v>Vtech A</v>
      </c>
      <c r="F2">
        <v>10</v>
      </c>
      <c r="G2" t="str">
        <f t="shared" ref="G2:G19" si="0">IF(OR(D2="",F2=""),"",IF(D2=F2,"Draw",IF(D2&gt;F2,C2,E2)))</f>
        <v>Duke</v>
      </c>
    </row>
    <row r="3" spans="1:7" x14ac:dyDescent="0.25">
      <c r="A3" t="s">
        <v>49</v>
      </c>
      <c r="B3" t="s">
        <v>51</v>
      </c>
      <c r="C3" t="str">
        <f>IFERROR(INDEX(Teams!A:A,MATCH("C1",Teams!C:C,0)),"C1")</f>
        <v>Appstate</v>
      </c>
      <c r="D3">
        <v>7</v>
      </c>
      <c r="E3" t="str">
        <f>IFERROR(INDEX(Teams!A:A,MATCH("C2",Teams!C:C,0)),"C2")</f>
        <v>Emory and Henry</v>
      </c>
      <c r="F3">
        <v>30</v>
      </c>
      <c r="G3" t="str">
        <f t="shared" si="0"/>
        <v>Emory and Henry</v>
      </c>
    </row>
    <row r="4" spans="1:7" x14ac:dyDescent="0.25">
      <c r="A4" t="s">
        <v>52</v>
      </c>
      <c r="B4" t="s">
        <v>50</v>
      </c>
      <c r="C4" t="str">
        <f>IFERROR(INDEX(Teams!A:A,MATCH("B1",Teams!C:C,0)),"B1")</f>
        <v>Greensboro Grit</v>
      </c>
      <c r="D4">
        <v>15</v>
      </c>
      <c r="E4" t="str">
        <f>IFERROR(INDEX(Teams!A:A,MATCH("B2",Teams!C:C,0)),"B2")</f>
        <v>Chapel Hill Blues</v>
      </c>
      <c r="F4">
        <v>14</v>
      </c>
      <c r="G4" t="str">
        <f t="shared" si="0"/>
        <v>Greensboro Grit</v>
      </c>
    </row>
    <row r="5" spans="1:7" x14ac:dyDescent="0.25">
      <c r="A5" t="s">
        <v>52</v>
      </c>
      <c r="B5" t="s">
        <v>51</v>
      </c>
      <c r="C5" t="str">
        <f>IFERROR(INDEX(Teams!A:A,MATCH("D1",Teams!C:C,0)),"D1")</f>
        <v>Clemson B</v>
      </c>
      <c r="D5">
        <v>14</v>
      </c>
      <c r="E5" t="str">
        <f>IFERROR(INDEX(Teams!A:A,MATCH("D2",Teams!C:C,0)),"D2")</f>
        <v>Elon</v>
      </c>
      <c r="F5">
        <v>11</v>
      </c>
      <c r="G5" t="str">
        <f t="shared" si="0"/>
        <v>Clemson B</v>
      </c>
    </row>
    <row r="6" spans="1:7" x14ac:dyDescent="0.25">
      <c r="A6" t="s">
        <v>53</v>
      </c>
      <c r="B6" t="s">
        <v>50</v>
      </c>
      <c r="C6" t="str">
        <f>IFERROR(INDEX(Teams!A:A,MATCH("A2",Teams!C:C,0)),"A2")</f>
        <v>Vtech A</v>
      </c>
      <c r="D6">
        <v>30</v>
      </c>
      <c r="E6" t="str">
        <f>IFERROR(INDEX(Teams!A:A,MATCH("A3",Teams!C:C,0)),"A3")</f>
        <v>Clemson A</v>
      </c>
      <c r="F6">
        <v>10</v>
      </c>
      <c r="G6" t="str">
        <f t="shared" si="0"/>
        <v>Vtech A</v>
      </c>
    </row>
    <row r="7" spans="1:7" x14ac:dyDescent="0.25">
      <c r="A7" t="s">
        <v>53</v>
      </c>
      <c r="B7" t="s">
        <v>51</v>
      </c>
      <c r="C7" t="str">
        <f>IFERROR(INDEX(Teams!A:A,MATCH("C1",Teams!C:C,0)),"C1")</f>
        <v>Appstate</v>
      </c>
      <c r="D7">
        <v>28</v>
      </c>
      <c r="E7" t="str">
        <f>IFERROR(INDEX(Teams!A:A,MATCH("C3",Teams!C:C,0)),"C3")</f>
        <v>WFU</v>
      </c>
      <c r="F7">
        <v>30</v>
      </c>
      <c r="G7" t="str">
        <f t="shared" si="0"/>
        <v>WFU</v>
      </c>
    </row>
    <row r="8" spans="1:7" x14ac:dyDescent="0.25">
      <c r="A8" t="s">
        <v>54</v>
      </c>
      <c r="B8" t="s">
        <v>50</v>
      </c>
      <c r="C8" t="str">
        <f>IFERROR(INDEX(Teams!A:A,MATCH("B2",Teams!C:C,0)),"B2")</f>
        <v>Chapel Hill Blues</v>
      </c>
      <c r="D8">
        <v>35</v>
      </c>
      <c r="E8" t="str">
        <f>IFERROR(INDEX(Teams!A:A,MATCH("B3",Teams!C:C,0)),"B3")</f>
        <v>Triad Titans</v>
      </c>
      <c r="F8">
        <v>24</v>
      </c>
      <c r="G8" t="str">
        <f t="shared" si="0"/>
        <v>Chapel Hill Blues</v>
      </c>
    </row>
    <row r="9" spans="1:7" x14ac:dyDescent="0.25">
      <c r="A9" t="s">
        <v>54</v>
      </c>
      <c r="B9" t="s">
        <v>51</v>
      </c>
      <c r="C9" t="str">
        <f>IFERROR(INDEX(Teams!A:A,MATCH("D1",Teams!C:C,0)),"D1")</f>
        <v>Clemson B</v>
      </c>
      <c r="D9">
        <v>9</v>
      </c>
      <c r="E9" t="str">
        <f>IFERROR(INDEX(Teams!A:A,MATCH("D3",Teams!C:C,0)),"D3")</f>
        <v>Lander</v>
      </c>
      <c r="F9">
        <v>25</v>
      </c>
      <c r="G9" t="str">
        <f t="shared" si="0"/>
        <v>Lander</v>
      </c>
    </row>
    <row r="10" spans="1:7" x14ac:dyDescent="0.25">
      <c r="A10" t="s">
        <v>55</v>
      </c>
      <c r="B10" t="s">
        <v>50</v>
      </c>
      <c r="C10" t="str">
        <f>IFERROR(INDEX(Teams!A:A,MATCH("A3",Teams!C:C,0)),"A3")</f>
        <v>Clemson A</v>
      </c>
      <c r="D10">
        <v>20</v>
      </c>
      <c r="E10" t="str">
        <f>IFERROR(INDEX(Teams!A:A,MATCH("A1",Teams!C:C,0)),"A1")</f>
        <v>Duke</v>
      </c>
      <c r="F10">
        <v>8</v>
      </c>
      <c r="G10" t="str">
        <f t="shared" si="0"/>
        <v>Clemson A</v>
      </c>
    </row>
    <row r="11" spans="1:7" x14ac:dyDescent="0.25">
      <c r="A11" t="s">
        <v>55</v>
      </c>
      <c r="B11" t="s">
        <v>51</v>
      </c>
      <c r="C11" t="str">
        <f>IFERROR(INDEX(Teams!A:A,MATCH("C1",Teams!C:C,0)),"C1")</f>
        <v>Appstate</v>
      </c>
      <c r="D11">
        <v>7</v>
      </c>
      <c r="E11" t="str">
        <f>IFERROR(INDEX(Teams!A:A,MATCH("C4",Teams!C:C,0)),"C4")</f>
        <v>Vtech B</v>
      </c>
      <c r="F11">
        <v>9</v>
      </c>
      <c r="G11" t="str">
        <f t="shared" si="0"/>
        <v>Vtech B</v>
      </c>
    </row>
    <row r="12" spans="1:7" x14ac:dyDescent="0.25">
      <c r="A12" t="s">
        <v>56</v>
      </c>
      <c r="B12" t="s">
        <v>50</v>
      </c>
      <c r="C12" t="str">
        <f>IFERROR(INDEX(Teams!A:A,MATCH("B3",Teams!C:C,0)),"B3")</f>
        <v>Triad Titans</v>
      </c>
      <c r="D12">
        <v>13</v>
      </c>
      <c r="E12" t="str">
        <f>IFERROR(INDEX(Teams!A:A,MATCH("B1",Teams!C:C,0)),"B1")</f>
        <v>Greensboro Grit</v>
      </c>
      <c r="F12">
        <v>14</v>
      </c>
      <c r="G12" t="str">
        <f t="shared" si="0"/>
        <v>Greensboro Grit</v>
      </c>
    </row>
    <row r="13" spans="1:7" x14ac:dyDescent="0.25">
      <c r="A13" t="s">
        <v>56</v>
      </c>
      <c r="B13" t="s">
        <v>51</v>
      </c>
      <c r="C13" t="str">
        <f>IFERROR(INDEX(Teams!A:A,MATCH("D1",Teams!C:C,0)),"D1")</f>
        <v>Clemson B</v>
      </c>
      <c r="D13">
        <v>23</v>
      </c>
      <c r="E13" t="str">
        <f>IFERROR(INDEX(Teams!A:A,MATCH("D4",Teams!C:C,0)),"D4")</f>
        <v>Outer Banks Orcas</v>
      </c>
      <c r="F13">
        <v>26</v>
      </c>
      <c r="G13" t="str">
        <f t="shared" si="0"/>
        <v>Outer Banks Orcas</v>
      </c>
    </row>
    <row r="14" spans="1:7" x14ac:dyDescent="0.25">
      <c r="A14" t="s">
        <v>57</v>
      </c>
      <c r="B14" t="s">
        <v>50</v>
      </c>
      <c r="C14" t="str">
        <f>IFERROR(INDEX(Teams!A:A,MATCH("C2",Teams!C:C,0)),"C2")</f>
        <v>Emory and Henry</v>
      </c>
      <c r="D14">
        <v>7</v>
      </c>
      <c r="E14" t="str">
        <f>IFERROR(INDEX(Teams!A:A,MATCH("C3",Teams!C:C,0)),"C3")</f>
        <v>WFU</v>
      </c>
      <c r="F14">
        <v>24</v>
      </c>
      <c r="G14" t="str">
        <f t="shared" si="0"/>
        <v>WFU</v>
      </c>
    </row>
    <row r="15" spans="1:7" x14ac:dyDescent="0.25">
      <c r="A15" t="s">
        <v>57</v>
      </c>
      <c r="B15" t="s">
        <v>51</v>
      </c>
      <c r="C15" t="str">
        <f>IFERROR(INDEX(Teams!A:A,MATCH("D2",Teams!C:C,0)),"D2")</f>
        <v>Elon</v>
      </c>
      <c r="D15">
        <v>13</v>
      </c>
      <c r="E15" t="str">
        <f>IFERROR(INDEX(Teams!A:A,MATCH("D3",Teams!C:C,0)),"D3")</f>
        <v>Lander</v>
      </c>
      <c r="F15">
        <v>29</v>
      </c>
      <c r="G15" t="str">
        <f t="shared" si="0"/>
        <v>Lander</v>
      </c>
    </row>
    <row r="16" spans="1:7" x14ac:dyDescent="0.25">
      <c r="A16" t="s">
        <v>58</v>
      </c>
      <c r="B16" t="s">
        <v>50</v>
      </c>
      <c r="C16" t="str">
        <f>IFERROR(INDEX(Teams!A:A,MATCH("C2",Teams!C:C,0)),"C2")</f>
        <v>Emory and Henry</v>
      </c>
      <c r="D16">
        <v>27</v>
      </c>
      <c r="E16" t="str">
        <f>IFERROR(INDEX(Teams!A:A,MATCH("C4",Teams!C:C,0)),"C4")</f>
        <v>Vtech B</v>
      </c>
      <c r="F16">
        <v>29</v>
      </c>
      <c r="G16" t="str">
        <f t="shared" si="0"/>
        <v>Vtech B</v>
      </c>
    </row>
    <row r="17" spans="1:7" x14ac:dyDescent="0.25">
      <c r="A17" t="s">
        <v>58</v>
      </c>
      <c r="B17" t="s">
        <v>51</v>
      </c>
      <c r="C17" t="str">
        <f>IFERROR(INDEX(Teams!A:A,MATCH("D2",Teams!C:C,0)),"D2")</f>
        <v>Elon</v>
      </c>
      <c r="D17">
        <v>24</v>
      </c>
      <c r="E17" t="str">
        <f>IFERROR(INDEX(Teams!A:A,MATCH("D4",Teams!C:C,0)),"D4")</f>
        <v>Outer Banks Orcas</v>
      </c>
      <c r="F17">
        <v>20</v>
      </c>
      <c r="G17" t="str">
        <f t="shared" si="0"/>
        <v>Elon</v>
      </c>
    </row>
    <row r="18" spans="1:7" x14ac:dyDescent="0.25">
      <c r="A18" t="s">
        <v>59</v>
      </c>
      <c r="B18" t="s">
        <v>50</v>
      </c>
      <c r="C18" t="str">
        <f>IFERROR(INDEX(Teams!A:A,MATCH("C3",Teams!C:C,0)),"C3")</f>
        <v>WFU</v>
      </c>
      <c r="D18">
        <v>14</v>
      </c>
      <c r="E18" t="str">
        <f>IFERROR(INDEX(Teams!A:A,MATCH("C4",Teams!C:C,0)),"C4")</f>
        <v>Vtech B</v>
      </c>
      <c r="F18">
        <v>21</v>
      </c>
      <c r="G18" t="str">
        <f t="shared" si="0"/>
        <v>Vtech B</v>
      </c>
    </row>
    <row r="19" spans="1:7" x14ac:dyDescent="0.25">
      <c r="A19" t="s">
        <v>59</v>
      </c>
      <c r="B19" t="s">
        <v>51</v>
      </c>
      <c r="C19" t="str">
        <f>IFERROR(INDEX(Teams!A:A,MATCH("D3",Teams!C:C,0)),"D3")</f>
        <v>Lander</v>
      </c>
      <c r="D19">
        <v>25</v>
      </c>
      <c r="E19" t="str">
        <f>IFERROR(INDEX(Teams!A:A,MATCH("D4",Teams!C:C,0)),"D4")</f>
        <v>Outer Banks Orcas</v>
      </c>
      <c r="F19">
        <v>15</v>
      </c>
      <c r="G19" t="str">
        <f t="shared" si="0"/>
        <v>Lander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5" x14ac:dyDescent="0.25"/>
  <cols>
    <col min="1" max="2" width="12" customWidth="1"/>
    <col min="3" max="3" width="21" customWidth="1"/>
    <col min="4" max="4" width="32" customWidth="1"/>
    <col min="5" max="5" width="42" customWidth="1"/>
    <col min="6" max="6" width="13" customWidth="1"/>
    <col min="7" max="7" width="23" customWidth="1"/>
    <col min="8" max="8" width="42" customWidth="1"/>
    <col min="9" max="9" width="15" customWidth="1"/>
  </cols>
  <sheetData>
    <row r="1" spans="1:9" x14ac:dyDescent="0.25">
      <c r="A1" t="s">
        <v>8</v>
      </c>
      <c r="B1" t="s">
        <v>9</v>
      </c>
      <c r="C1" t="s">
        <v>7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25">
      <c r="A2" t="s">
        <v>11</v>
      </c>
      <c r="B2" t="s">
        <v>12</v>
      </c>
      <c r="C2" t="s">
        <v>10</v>
      </c>
      <c r="D2">
        <f>COUNTIF(Pool_Play!$G:$G,C2)</f>
        <v>0</v>
      </c>
      <c r="E2">
        <f>COUNTIFS(Pool_Play!$G:$G,"Draw",Pool_Play!$C:$C,C2)+COUNTIFS(Pool_Play!$G:$G,"Draw",Pool_Play!$E:$E,C2)</f>
        <v>0</v>
      </c>
      <c r="F2">
        <f t="shared" ref="F2:F15" si="0">D2*3+E2</f>
        <v>0</v>
      </c>
      <c r="G2">
        <f t="shared" ref="G2:G15" si="1">VALUE(MID(B2,2,2))</f>
        <v>1</v>
      </c>
      <c r="H2">
        <f t="shared" ref="H2:H15" si="2">1+SUMPRODUCT((($A$2:$A$15=A2)*($F$2:$F$15&gt;F2))+(($A$2:$A$15=A2)*($F$2:$F$15=F2)*($G$2:$G$15&lt;G2)))</f>
        <v>1</v>
      </c>
      <c r="I2" t="str">
        <f t="shared" ref="I2:I15" si="3">A2&amp;"-"&amp;H2</f>
        <v>A-1</v>
      </c>
    </row>
    <row r="3" spans="1:9" x14ac:dyDescent="0.25">
      <c r="A3" t="s">
        <v>11</v>
      </c>
      <c r="B3" t="s">
        <v>14</v>
      </c>
      <c r="C3" t="s">
        <v>13</v>
      </c>
      <c r="D3">
        <f>COUNTIF(Pool_Play!$G:$G,C3)</f>
        <v>0</v>
      </c>
      <c r="E3">
        <f>COUNTIFS(Pool_Play!$G:$G,"Draw",Pool_Play!$C:$C,C3)+COUNTIFS(Pool_Play!$G:$G,"Draw",Pool_Play!$E:$E,C3)</f>
        <v>0</v>
      </c>
      <c r="F3">
        <f t="shared" si="0"/>
        <v>0</v>
      </c>
      <c r="G3">
        <f t="shared" si="1"/>
        <v>2</v>
      </c>
      <c r="H3">
        <f t="shared" si="2"/>
        <v>2</v>
      </c>
      <c r="I3" t="str">
        <f t="shared" si="3"/>
        <v>A-2</v>
      </c>
    </row>
    <row r="4" spans="1:9" x14ac:dyDescent="0.25">
      <c r="A4" t="s">
        <v>11</v>
      </c>
      <c r="B4" t="s">
        <v>16</v>
      </c>
      <c r="C4" t="s">
        <v>15</v>
      </c>
      <c r="D4">
        <f>COUNTIF(Pool_Play!$G:$G,C4)</f>
        <v>0</v>
      </c>
      <c r="E4">
        <f>COUNTIFS(Pool_Play!$G:$G,"Draw",Pool_Play!$C:$C,C4)+COUNTIFS(Pool_Play!$G:$G,"Draw",Pool_Play!$E:$E,C4)</f>
        <v>0</v>
      </c>
      <c r="F4">
        <f t="shared" si="0"/>
        <v>0</v>
      </c>
      <c r="G4">
        <f t="shared" si="1"/>
        <v>3</v>
      </c>
      <c r="H4">
        <f t="shared" si="2"/>
        <v>3</v>
      </c>
      <c r="I4" t="str">
        <f t="shared" si="3"/>
        <v>A-3</v>
      </c>
    </row>
    <row r="5" spans="1:9" x14ac:dyDescent="0.25">
      <c r="A5" t="s">
        <v>18</v>
      </c>
      <c r="B5" t="s">
        <v>19</v>
      </c>
      <c r="C5" t="s">
        <v>17</v>
      </c>
      <c r="D5">
        <f>COUNTIF(Pool_Play!$G:$G,C5)</f>
        <v>2</v>
      </c>
      <c r="E5">
        <f>COUNTIFS(Pool_Play!$G:$G,"Draw",Pool_Play!$C:$C,C5)+COUNTIFS(Pool_Play!$G:$G,"Draw",Pool_Play!$E:$E,C5)</f>
        <v>0</v>
      </c>
      <c r="F5">
        <f t="shared" si="0"/>
        <v>6</v>
      </c>
      <c r="G5">
        <f t="shared" si="1"/>
        <v>1</v>
      </c>
      <c r="H5">
        <f t="shared" si="2"/>
        <v>1</v>
      </c>
      <c r="I5" t="str">
        <f t="shared" si="3"/>
        <v>B-1</v>
      </c>
    </row>
    <row r="6" spans="1:9" x14ac:dyDescent="0.25">
      <c r="A6" t="s">
        <v>18</v>
      </c>
      <c r="B6" t="s">
        <v>21</v>
      </c>
      <c r="C6" t="s">
        <v>20</v>
      </c>
      <c r="D6">
        <f>COUNTIF(Pool_Play!$G:$G,C6)</f>
        <v>1</v>
      </c>
      <c r="E6">
        <f>COUNTIFS(Pool_Play!$G:$G,"Draw",Pool_Play!$C:$C,C6)+COUNTIFS(Pool_Play!$G:$G,"Draw",Pool_Play!$E:$E,C6)</f>
        <v>0</v>
      </c>
      <c r="F6">
        <f t="shared" si="0"/>
        <v>3</v>
      </c>
      <c r="G6">
        <f t="shared" si="1"/>
        <v>2</v>
      </c>
      <c r="H6">
        <f t="shared" si="2"/>
        <v>2</v>
      </c>
      <c r="I6" t="str">
        <f t="shared" si="3"/>
        <v>B-2</v>
      </c>
    </row>
    <row r="7" spans="1:9" x14ac:dyDescent="0.25">
      <c r="A7" t="s">
        <v>18</v>
      </c>
      <c r="B7" t="s">
        <v>23</v>
      </c>
      <c r="C7" t="s">
        <v>22</v>
      </c>
      <c r="D7">
        <f>COUNTIF(Pool_Play!$G:$G,C7)</f>
        <v>0</v>
      </c>
      <c r="E7">
        <f>COUNTIFS(Pool_Play!$G:$G,"Draw",Pool_Play!$C:$C,C7)+COUNTIFS(Pool_Play!$G:$G,"Draw",Pool_Play!$E:$E,C7)</f>
        <v>0</v>
      </c>
      <c r="F7">
        <f t="shared" si="0"/>
        <v>0</v>
      </c>
      <c r="G7">
        <f t="shared" si="1"/>
        <v>3</v>
      </c>
      <c r="H7">
        <f t="shared" si="2"/>
        <v>3</v>
      </c>
      <c r="I7" t="str">
        <f t="shared" si="3"/>
        <v>B-3</v>
      </c>
    </row>
    <row r="8" spans="1:9" x14ac:dyDescent="0.25">
      <c r="A8" t="s">
        <v>25</v>
      </c>
      <c r="B8" t="s">
        <v>26</v>
      </c>
      <c r="C8" t="s">
        <v>24</v>
      </c>
      <c r="D8">
        <f>COUNTIF(Pool_Play!$G:$G,C8)</f>
        <v>0</v>
      </c>
      <c r="E8">
        <f>COUNTIFS(Pool_Play!$G:$G,"Draw",Pool_Play!$C:$C,C8)+COUNTIFS(Pool_Play!$G:$G,"Draw",Pool_Play!$E:$E,C8)</f>
        <v>0</v>
      </c>
      <c r="F8">
        <f t="shared" si="0"/>
        <v>0</v>
      </c>
      <c r="G8">
        <f t="shared" si="1"/>
        <v>1</v>
      </c>
      <c r="H8">
        <f t="shared" si="2"/>
        <v>1</v>
      </c>
      <c r="I8" t="str">
        <f t="shared" si="3"/>
        <v>C-1</v>
      </c>
    </row>
    <row r="9" spans="1:9" x14ac:dyDescent="0.25">
      <c r="A9" t="s">
        <v>25</v>
      </c>
      <c r="B9" t="s">
        <v>28</v>
      </c>
      <c r="C9" t="s">
        <v>27</v>
      </c>
      <c r="D9">
        <f>COUNTIF(Pool_Play!$G:$G,C9)</f>
        <v>0</v>
      </c>
      <c r="E9">
        <f>COUNTIFS(Pool_Play!$G:$G,"Draw",Pool_Play!$C:$C,C9)+COUNTIFS(Pool_Play!$G:$G,"Draw",Pool_Play!$E:$E,C9)</f>
        <v>0</v>
      </c>
      <c r="F9">
        <f t="shared" si="0"/>
        <v>0</v>
      </c>
      <c r="G9">
        <f t="shared" si="1"/>
        <v>2</v>
      </c>
      <c r="H9">
        <f t="shared" si="2"/>
        <v>2</v>
      </c>
      <c r="I9" t="str">
        <f t="shared" si="3"/>
        <v>C-2</v>
      </c>
    </row>
    <row r="10" spans="1:9" x14ac:dyDescent="0.25">
      <c r="A10" t="s">
        <v>25</v>
      </c>
      <c r="B10" t="s">
        <v>30</v>
      </c>
      <c r="C10" t="s">
        <v>29</v>
      </c>
      <c r="D10">
        <f>COUNTIF(Pool_Play!$G:$G,C10)</f>
        <v>0</v>
      </c>
      <c r="E10">
        <f>COUNTIFS(Pool_Play!$G:$G,"Draw",Pool_Play!$C:$C,C10)+COUNTIFS(Pool_Play!$G:$G,"Draw",Pool_Play!$E:$E,C10)</f>
        <v>0</v>
      </c>
      <c r="F10">
        <f t="shared" si="0"/>
        <v>0</v>
      </c>
      <c r="G10">
        <f t="shared" si="1"/>
        <v>3</v>
      </c>
      <c r="H10">
        <f t="shared" si="2"/>
        <v>3</v>
      </c>
      <c r="I10" t="str">
        <f t="shared" si="3"/>
        <v>C-3</v>
      </c>
    </row>
    <row r="11" spans="1:9" x14ac:dyDescent="0.25">
      <c r="A11" t="s">
        <v>25</v>
      </c>
      <c r="B11" t="s">
        <v>32</v>
      </c>
      <c r="C11" t="s">
        <v>31</v>
      </c>
      <c r="D11">
        <f>COUNTIF(Pool_Play!$G:$G,C11)</f>
        <v>0</v>
      </c>
      <c r="E11">
        <f>COUNTIFS(Pool_Play!$G:$G,"Draw",Pool_Play!$C:$C,C11)+COUNTIFS(Pool_Play!$G:$G,"Draw",Pool_Play!$E:$E,C11)</f>
        <v>0</v>
      </c>
      <c r="F11">
        <f t="shared" si="0"/>
        <v>0</v>
      </c>
      <c r="G11">
        <f t="shared" si="1"/>
        <v>4</v>
      </c>
      <c r="H11">
        <f t="shared" si="2"/>
        <v>4</v>
      </c>
      <c r="I11" t="str">
        <f t="shared" si="3"/>
        <v>C-4</v>
      </c>
    </row>
    <row r="12" spans="1:9" x14ac:dyDescent="0.25">
      <c r="A12" t="s">
        <v>34</v>
      </c>
      <c r="B12" t="s">
        <v>35</v>
      </c>
      <c r="C12" t="s">
        <v>33</v>
      </c>
      <c r="D12">
        <f>COUNTIF(Pool_Play!$G:$G,C12)</f>
        <v>0</v>
      </c>
      <c r="E12">
        <f>COUNTIFS(Pool_Play!$G:$G,"Draw",Pool_Play!$C:$C,C12)+COUNTIFS(Pool_Play!$G:$G,"Draw",Pool_Play!$E:$E,C12)</f>
        <v>0</v>
      </c>
      <c r="F12">
        <f t="shared" si="0"/>
        <v>0</v>
      </c>
      <c r="G12">
        <f t="shared" si="1"/>
        <v>1</v>
      </c>
      <c r="H12">
        <f t="shared" si="2"/>
        <v>2</v>
      </c>
      <c r="I12" t="str">
        <f t="shared" si="3"/>
        <v>D-2</v>
      </c>
    </row>
    <row r="13" spans="1:9" x14ac:dyDescent="0.25">
      <c r="A13" t="s">
        <v>34</v>
      </c>
      <c r="B13" t="s">
        <v>37</v>
      </c>
      <c r="C13" t="s">
        <v>36</v>
      </c>
      <c r="D13">
        <f>COUNTIF(Pool_Play!$G:$G,C13)</f>
        <v>0</v>
      </c>
      <c r="E13">
        <f>COUNTIFS(Pool_Play!$G:$G,"Draw",Pool_Play!$C:$C,C13)+COUNTIFS(Pool_Play!$G:$G,"Draw",Pool_Play!$E:$E,C13)</f>
        <v>0</v>
      </c>
      <c r="F13">
        <f t="shared" si="0"/>
        <v>0</v>
      </c>
      <c r="G13">
        <f t="shared" si="1"/>
        <v>2</v>
      </c>
      <c r="H13">
        <f t="shared" si="2"/>
        <v>3</v>
      </c>
      <c r="I13" t="str">
        <f t="shared" si="3"/>
        <v>D-3</v>
      </c>
    </row>
    <row r="14" spans="1:9" x14ac:dyDescent="0.25">
      <c r="A14" t="s">
        <v>34</v>
      </c>
      <c r="B14" t="s">
        <v>39</v>
      </c>
      <c r="C14" t="s">
        <v>38</v>
      </c>
      <c r="D14">
        <f>COUNTIF(Pool_Play!$G:$G,C14)</f>
        <v>0</v>
      </c>
      <c r="E14">
        <f>COUNTIFS(Pool_Play!$G:$G,"Draw",Pool_Play!$C:$C,C14)+COUNTIFS(Pool_Play!$G:$G,"Draw",Pool_Play!$E:$E,C14)</f>
        <v>0</v>
      </c>
      <c r="F14">
        <f t="shared" si="0"/>
        <v>0</v>
      </c>
      <c r="G14">
        <f t="shared" si="1"/>
        <v>3</v>
      </c>
      <c r="H14">
        <f t="shared" si="2"/>
        <v>4</v>
      </c>
      <c r="I14" t="str">
        <f t="shared" si="3"/>
        <v>D-4</v>
      </c>
    </row>
    <row r="15" spans="1:9" x14ac:dyDescent="0.25">
      <c r="A15" t="s">
        <v>34</v>
      </c>
      <c r="B15" t="s">
        <v>41</v>
      </c>
      <c r="C15" t="s">
        <v>40</v>
      </c>
      <c r="D15">
        <f>COUNTIF(Pool_Play!$G:$G,C15)</f>
        <v>1</v>
      </c>
      <c r="E15">
        <f>COUNTIFS(Pool_Play!$G:$G,"Draw",Pool_Play!$C:$C,C15)+COUNTIFS(Pool_Play!$G:$G,"Draw",Pool_Play!$E:$E,C15)</f>
        <v>0</v>
      </c>
      <c r="F15">
        <f t="shared" si="0"/>
        <v>3</v>
      </c>
      <c r="G15">
        <f t="shared" si="1"/>
        <v>4</v>
      </c>
      <c r="H15">
        <f t="shared" si="2"/>
        <v>1</v>
      </c>
      <c r="I15" t="str">
        <f t="shared" si="3"/>
        <v>D-1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5" x14ac:dyDescent="0.25"/>
  <cols>
    <col min="1" max="2" width="12" customWidth="1"/>
    <col min="3" max="3" width="42" customWidth="1"/>
    <col min="4" max="4" width="12" customWidth="1"/>
    <col min="5" max="5" width="42" customWidth="1"/>
    <col min="6" max="6" width="12" customWidth="1"/>
    <col min="7" max="8" width="42" customWidth="1"/>
  </cols>
  <sheetData>
    <row r="1" spans="1:8" x14ac:dyDescent="0.25">
      <c r="A1" t="s">
        <v>42</v>
      </c>
      <c r="B1" t="s">
        <v>66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67</v>
      </c>
    </row>
    <row r="2" spans="1:8" x14ac:dyDescent="0.25">
      <c r="A2" t="s">
        <v>68</v>
      </c>
      <c r="B2" t="s">
        <v>69</v>
      </c>
      <c r="C2" t="str">
        <f>IFERROR(INDEX(Standings!C:C,MATCH("C-1",Standings!I:I,0)),"TBD")</f>
        <v>Charlotte Flyers</v>
      </c>
      <c r="D2">
        <v>32</v>
      </c>
      <c r="E2" t="str">
        <f>IFERROR(INDEX(Standings!C:C,MATCH("A-3",Standings!I:I,0)),"TBD")</f>
        <v>Raleigh Raptors</v>
      </c>
      <c r="F2">
        <v>34</v>
      </c>
      <c r="G2" t="str">
        <f t="shared" ref="G2:G11" si="0">IF(OR(D2="",F2=""),"",IF(D2=F2,"Draw",IF(D2&gt;F2,C2,E2)))</f>
        <v>Raleigh Raptors</v>
      </c>
      <c r="H2" t="str">
        <f t="shared" ref="H2:H11" si="1">IF(OR(D2="",F2=""),"",IF(D2=F2,"Draw",IF(D2&lt;F2,C2,E2)))</f>
        <v>Charlotte Flyers</v>
      </c>
    </row>
    <row r="3" spans="1:8" x14ac:dyDescent="0.25">
      <c r="A3" t="s">
        <v>70</v>
      </c>
      <c r="B3" t="s">
        <v>71</v>
      </c>
      <c r="C3" t="str">
        <f>IFERROR(INDEX(Standings!C:C,MATCH("D-1",Standings!I:I,0)),"TBD")</f>
        <v>Outer Banks Orcas</v>
      </c>
      <c r="D3">
        <v>7</v>
      </c>
      <c r="E3" t="str">
        <f>IFERROR(INDEX(Standings!C:C,MATCH("B-3",Standings!I:I,0)),"TBD")</f>
        <v>Triad Titans</v>
      </c>
      <c r="F3">
        <v>31</v>
      </c>
      <c r="G3" t="str">
        <f t="shared" si="0"/>
        <v>Triad Titans</v>
      </c>
      <c r="H3" t="str">
        <f t="shared" si="1"/>
        <v>Outer Banks Orcas</v>
      </c>
    </row>
    <row r="4" spans="1:8" x14ac:dyDescent="0.25">
      <c r="A4" t="s">
        <v>72</v>
      </c>
      <c r="B4" t="s">
        <v>73</v>
      </c>
      <c r="C4" t="str">
        <f>IFERROR(INDEX(Standings!C:C,MATCH("A-1",Standings!I:I,0)),"TBD")</f>
        <v>Wake Forest</v>
      </c>
      <c r="D4">
        <v>32</v>
      </c>
      <c r="E4" t="str">
        <f>IFERROR(INDEX(Standings!C:C,MATCH("C-4",Standings!I:I,0)),"TBD")</f>
        <v>Hickory Hounds</v>
      </c>
      <c r="F4">
        <v>12</v>
      </c>
      <c r="G4" t="str">
        <f t="shared" si="0"/>
        <v>Wake Forest</v>
      </c>
      <c r="H4" t="str">
        <f t="shared" si="1"/>
        <v>Hickory Hounds</v>
      </c>
    </row>
    <row r="5" spans="1:8" x14ac:dyDescent="0.25">
      <c r="A5" t="s">
        <v>74</v>
      </c>
      <c r="B5" t="s">
        <v>75</v>
      </c>
      <c r="C5" t="str">
        <f>IFERROR(INDEX(Standings!C:C,MATCH("B-1",Standings!I:I,0)),"TBD")</f>
        <v>Greensboro Grit</v>
      </c>
      <c r="D5">
        <v>29</v>
      </c>
      <c r="E5" t="str">
        <f>IFERROR(INDEX(Standings!C:C,MATCH("D-4",Standings!I:I,0)),"TBD")</f>
        <v>High Point Hawks</v>
      </c>
      <c r="F5">
        <v>20</v>
      </c>
      <c r="G5" t="str">
        <f t="shared" si="0"/>
        <v>Greensboro Grit</v>
      </c>
      <c r="H5" t="str">
        <f t="shared" si="1"/>
        <v>High Point Hawks</v>
      </c>
    </row>
    <row r="6" spans="1:8" x14ac:dyDescent="0.25">
      <c r="A6" t="s">
        <v>76</v>
      </c>
      <c r="B6" t="s">
        <v>77</v>
      </c>
      <c r="C6" t="str">
        <f>Championship!G2</f>
        <v>Raleigh Raptors</v>
      </c>
      <c r="D6">
        <v>17</v>
      </c>
      <c r="E6" t="str">
        <f>Championship!G3</f>
        <v>Triad Titans</v>
      </c>
      <c r="F6">
        <v>15</v>
      </c>
      <c r="G6" t="str">
        <f t="shared" si="0"/>
        <v>Raleigh Raptors</v>
      </c>
      <c r="H6" t="str">
        <f t="shared" si="1"/>
        <v>Triad Titans</v>
      </c>
    </row>
    <row r="7" spans="1:8" x14ac:dyDescent="0.25">
      <c r="A7" t="s">
        <v>78</v>
      </c>
      <c r="B7" t="s">
        <v>79</v>
      </c>
      <c r="C7" t="str">
        <f>Championship!H2</f>
        <v>Charlotte Flyers</v>
      </c>
      <c r="D7">
        <v>11</v>
      </c>
      <c r="E7" t="str">
        <f>Championship!H3</f>
        <v>Outer Banks Orcas</v>
      </c>
      <c r="F7">
        <v>13</v>
      </c>
      <c r="G7" t="str">
        <f t="shared" si="0"/>
        <v>Outer Banks Orcas</v>
      </c>
      <c r="H7" t="str">
        <f t="shared" si="1"/>
        <v>Charlotte Flyers</v>
      </c>
    </row>
    <row r="8" spans="1:8" x14ac:dyDescent="0.25">
      <c r="A8" t="s">
        <v>80</v>
      </c>
      <c r="B8" t="s">
        <v>81</v>
      </c>
      <c r="C8" t="str">
        <f>Championship!G4</f>
        <v>Wake Forest</v>
      </c>
      <c r="D8">
        <v>31</v>
      </c>
      <c r="E8" t="str">
        <f>Championship!G5</f>
        <v>Greensboro Grit</v>
      </c>
      <c r="F8">
        <v>17</v>
      </c>
      <c r="G8" t="str">
        <f t="shared" si="0"/>
        <v>Wake Forest</v>
      </c>
      <c r="H8" t="str">
        <f t="shared" si="1"/>
        <v>Greensboro Grit</v>
      </c>
    </row>
    <row r="9" spans="1:8" x14ac:dyDescent="0.25">
      <c r="A9" t="s">
        <v>82</v>
      </c>
      <c r="B9" t="s">
        <v>83</v>
      </c>
      <c r="C9" t="str">
        <f>Championship!H4</f>
        <v>Hickory Hounds</v>
      </c>
      <c r="D9">
        <v>10</v>
      </c>
      <c r="E9" t="str">
        <f>Championship!H5</f>
        <v>High Point Hawks</v>
      </c>
      <c r="F9">
        <v>9</v>
      </c>
      <c r="G9" t="str">
        <f t="shared" si="0"/>
        <v>Hickory Hounds</v>
      </c>
      <c r="H9" t="str">
        <f t="shared" si="1"/>
        <v>High Point Hawks</v>
      </c>
    </row>
    <row r="10" spans="1:8" x14ac:dyDescent="0.25">
      <c r="A10" t="s">
        <v>84</v>
      </c>
      <c r="B10" t="s">
        <v>85</v>
      </c>
      <c r="C10" t="str">
        <f>Championship!G7</f>
        <v>Outer Banks Orcas</v>
      </c>
      <c r="D10">
        <v>19</v>
      </c>
      <c r="E10" t="str">
        <f>Championship!G9</f>
        <v>Hickory Hounds</v>
      </c>
      <c r="F10">
        <v>10</v>
      </c>
      <c r="G10" t="str">
        <f t="shared" si="0"/>
        <v>Outer Banks Orcas</v>
      </c>
      <c r="H10" t="str">
        <f t="shared" si="1"/>
        <v>Hickory Hounds</v>
      </c>
    </row>
    <row r="11" spans="1:8" x14ac:dyDescent="0.25">
      <c r="A11" t="s">
        <v>6</v>
      </c>
      <c r="B11" t="s">
        <v>86</v>
      </c>
      <c r="C11" t="str">
        <f>Championship!G6</f>
        <v>Raleigh Raptors</v>
      </c>
      <c r="D11">
        <v>18</v>
      </c>
      <c r="E11" t="str">
        <f>Championship!G8</f>
        <v>Wake Forest</v>
      </c>
      <c r="F11">
        <v>34</v>
      </c>
      <c r="G11" t="str">
        <f t="shared" si="0"/>
        <v>Wake Forest</v>
      </c>
      <c r="H11" t="str">
        <f t="shared" si="1"/>
        <v>Raleigh Raptors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defaultRowHeight="15" x14ac:dyDescent="0.25"/>
  <cols>
    <col min="1" max="2" width="42" customWidth="1"/>
    <col min="3" max="4" width="20" customWidth="1"/>
  </cols>
  <sheetData>
    <row r="1" spans="1:4" x14ac:dyDescent="0.25">
      <c r="A1" t="s">
        <v>87</v>
      </c>
    </row>
    <row r="2" spans="1:4" x14ac:dyDescent="0.25">
      <c r="A2" t="str">
        <f>Championship!C2</f>
        <v>Charlotte Flyers</v>
      </c>
      <c r="B2" t="str">
        <f>Championship!E2</f>
        <v>Raleigh Raptors</v>
      </c>
      <c r="C2">
        <f>Championship!D2</f>
        <v>32</v>
      </c>
      <c r="D2">
        <f>Championship!F2</f>
        <v>34</v>
      </c>
    </row>
    <row r="3" spans="1:4" x14ac:dyDescent="0.25">
      <c r="A3" t="str">
        <f>Championship!C3</f>
        <v>Outer Banks Orcas</v>
      </c>
      <c r="B3" t="str">
        <f>Championship!E3</f>
        <v>Triad Titans</v>
      </c>
      <c r="C3">
        <f>Championship!D3</f>
        <v>7</v>
      </c>
      <c r="D3">
        <f>Championship!F3</f>
        <v>31</v>
      </c>
    </row>
    <row r="4" spans="1:4" x14ac:dyDescent="0.25">
      <c r="A4" t="str">
        <f>Championship!C4</f>
        <v>Wake Forest</v>
      </c>
      <c r="B4" t="str">
        <f>Championship!E4</f>
        <v>Hickory Hounds</v>
      </c>
      <c r="C4">
        <f>Championship!D4</f>
        <v>32</v>
      </c>
      <c r="D4">
        <f>Championship!F4</f>
        <v>12</v>
      </c>
    </row>
    <row r="5" spans="1:4" x14ac:dyDescent="0.25">
      <c r="A5" t="str">
        <f>Championship!C5</f>
        <v>Greensboro Grit</v>
      </c>
      <c r="B5" t="str">
        <f>Championship!E5</f>
        <v>High Point Hawks</v>
      </c>
      <c r="C5">
        <f>Championship!D5</f>
        <v>29</v>
      </c>
      <c r="D5">
        <f>Championship!F5</f>
        <v>20</v>
      </c>
    </row>
    <row r="6" spans="1:4" x14ac:dyDescent="0.25">
      <c r="A6" t="s">
        <v>88</v>
      </c>
    </row>
    <row r="7" spans="1:4" x14ac:dyDescent="0.25">
      <c r="A7" t="str">
        <f>Championship!C6</f>
        <v>Raleigh Raptors</v>
      </c>
      <c r="B7" t="str">
        <f>Championship!E6</f>
        <v>Triad Titans</v>
      </c>
      <c r="C7">
        <f>Championship!D6</f>
        <v>17</v>
      </c>
      <c r="D7">
        <f>Championship!F6</f>
        <v>15</v>
      </c>
    </row>
    <row r="8" spans="1:4" x14ac:dyDescent="0.25">
      <c r="A8" t="str">
        <f>Championship!C8</f>
        <v>Wake Forest</v>
      </c>
      <c r="B8" t="str">
        <f>Championship!E8</f>
        <v>Greensboro Grit</v>
      </c>
      <c r="C8">
        <f>Championship!D8</f>
        <v>31</v>
      </c>
      <c r="D8">
        <f>Championship!F8</f>
        <v>17</v>
      </c>
    </row>
    <row r="9" spans="1:4" x14ac:dyDescent="0.25">
      <c r="A9" t="s">
        <v>86</v>
      </c>
    </row>
    <row r="10" spans="1:4" x14ac:dyDescent="0.25">
      <c r="A10" t="str">
        <f>Championship!C11</f>
        <v>Raleigh Raptors</v>
      </c>
      <c r="B10" t="str">
        <f>Championship!E11</f>
        <v>Wake Forest</v>
      </c>
      <c r="C10">
        <f>Championship!D11</f>
        <v>18</v>
      </c>
      <c r="D10">
        <f>Championship!F11</f>
        <v>34</v>
      </c>
    </row>
    <row r="11" spans="1:4" x14ac:dyDescent="0.25">
      <c r="A11" t="s">
        <v>89</v>
      </c>
    </row>
    <row r="12" spans="1:4" x14ac:dyDescent="0.25">
      <c r="A12" t="str">
        <f>Championship!C7</f>
        <v>Charlotte Flyers</v>
      </c>
      <c r="B12" t="str">
        <f>Championship!E7</f>
        <v>Outer Banks Orcas</v>
      </c>
      <c r="C12">
        <f>Championship!D7</f>
        <v>11</v>
      </c>
      <c r="D12">
        <f>Championship!F7</f>
        <v>13</v>
      </c>
    </row>
    <row r="13" spans="1:4" x14ac:dyDescent="0.25">
      <c r="A13" t="str">
        <f>Championship!C9</f>
        <v>Hickory Hounds</v>
      </c>
      <c r="B13" t="str">
        <f>Championship!E9</f>
        <v>High Point Hawks</v>
      </c>
      <c r="C13">
        <f>Championship!D9</f>
        <v>10</v>
      </c>
      <c r="D13">
        <f>Championship!F9</f>
        <v>9</v>
      </c>
    </row>
    <row r="14" spans="1:4" x14ac:dyDescent="0.25">
      <c r="A14" t="s">
        <v>90</v>
      </c>
    </row>
    <row r="15" spans="1:4" x14ac:dyDescent="0.25">
      <c r="A15" t="str">
        <f>Championship!C10</f>
        <v>Outer Banks Orcas</v>
      </c>
      <c r="B15" t="str">
        <f>Championship!E10</f>
        <v>Hickory Hounds</v>
      </c>
      <c r="C15">
        <f>Championship!D10</f>
        <v>19</v>
      </c>
      <c r="D15">
        <f>Championship!F10</f>
        <v>10</v>
      </c>
    </row>
    <row r="16" spans="1:4" x14ac:dyDescent="0.25">
      <c r="A16" t="s">
        <v>91</v>
      </c>
    </row>
    <row r="17" spans="1:2" x14ac:dyDescent="0.25">
      <c r="A17" t="str">
        <f>IFERROR(INDEX(Standings!C:C,MATCH("C-2",Standings!I:I,0)),"TBD")</f>
        <v>Cary Cobras</v>
      </c>
      <c r="B17" t="str">
        <f>IFERROR(INDEX(Standings!C:C,MATCH("D-2",Standings!I:I,0)),"TBD")</f>
        <v>Asheville Arrows</v>
      </c>
    </row>
    <row r="18" spans="1:2" x14ac:dyDescent="0.25">
      <c r="A18" t="str">
        <f>IFERROR(INDEX(Standings!C:C,MATCH("C-3",Standings!I:I,0)),"TBD")</f>
        <v>Fayetteville Foxes</v>
      </c>
      <c r="B18" t="str">
        <f>IFERROR(INDEX(Standings!C:C,MATCH("D-3",Standings!I:I,0)),"TBD")</f>
        <v>Wilmington Waves</v>
      </c>
    </row>
    <row r="19" spans="1:2" x14ac:dyDescent="0.25">
      <c r="A19" t="str">
        <f>IFERROR(INDEX(Standings!C:C,MATCH("C-4",Standings!I:I,0)),"TBD")</f>
        <v>Hickory Hounds</v>
      </c>
      <c r="B19" t="str">
        <f>IFERROR(INDEX(Standings!C:C,MATCH("D-4",Standings!I:I,0)),"TBD")</f>
        <v>High Point Hawks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42" customWidth="1"/>
    <col min="4" max="5" width="17" customWidth="1"/>
    <col min="6" max="6" width="42" customWidth="1"/>
    <col min="7" max="7" width="17" customWidth="1"/>
  </cols>
  <sheetData>
    <row r="1" spans="1:7" x14ac:dyDescent="0.25">
      <c r="A1" t="s">
        <v>42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 x14ac:dyDescent="0.25">
      <c r="A2" t="s">
        <v>49</v>
      </c>
      <c r="B2" t="str">
        <f>Pool_Play!C2</f>
        <v>Duke</v>
      </c>
      <c r="C2" t="str">
        <f>IF(OR(Pool_Play!D2="",Pool_Play!F2=""),"",Pool_Play!D2&amp;"-"&amp;Pool_Play!F2)</f>
        <v>27-10</v>
      </c>
      <c r="D2" t="str">
        <f>Pool_Play!E2</f>
        <v>Vtech A</v>
      </c>
      <c r="E2" t="str">
        <f>Pool_Play!C3</f>
        <v>Appstate</v>
      </c>
      <c r="F2" t="str">
        <f>IF(OR(Pool_Play!D3="",Pool_Play!F3=""),"",Pool_Play!D3&amp;"-"&amp;Pool_Play!F3)</f>
        <v>7-30</v>
      </c>
      <c r="G2" t="str">
        <f>Pool_Play!E3</f>
        <v>Emory and Henry</v>
      </c>
    </row>
    <row r="3" spans="1:7" x14ac:dyDescent="0.25">
      <c r="A3" t="s">
        <v>52</v>
      </c>
      <c r="B3" t="str">
        <f>Pool_Play!C4</f>
        <v>Greensboro Grit</v>
      </c>
      <c r="C3" t="str">
        <f>IF(OR(Pool_Play!D4="",Pool_Play!F4=""),"",Pool_Play!D4&amp;"-"&amp;Pool_Play!F4)</f>
        <v>15-14</v>
      </c>
      <c r="D3" t="str">
        <f>Pool_Play!E4</f>
        <v>Chapel Hill Blues</v>
      </c>
      <c r="E3" t="str">
        <f>Pool_Play!C5</f>
        <v>Clemson B</v>
      </c>
      <c r="F3" t="str">
        <f>IF(OR(Pool_Play!D5="",Pool_Play!F5=""),"",Pool_Play!D5&amp;"-"&amp;Pool_Play!F5)</f>
        <v>14-11</v>
      </c>
      <c r="G3" t="str">
        <f>Pool_Play!E5</f>
        <v>Elon</v>
      </c>
    </row>
    <row r="4" spans="1:7" x14ac:dyDescent="0.25">
      <c r="A4" t="s">
        <v>53</v>
      </c>
      <c r="B4" t="str">
        <f>Pool_Play!C6</f>
        <v>Vtech A</v>
      </c>
      <c r="C4" t="str">
        <f>IF(OR(Pool_Play!D6="",Pool_Play!F6=""),"",Pool_Play!D6&amp;"-"&amp;Pool_Play!F6)</f>
        <v>30-10</v>
      </c>
      <c r="D4" t="str">
        <f>Pool_Play!E6</f>
        <v>Clemson A</v>
      </c>
      <c r="E4" t="str">
        <f>Pool_Play!C7</f>
        <v>Appstate</v>
      </c>
      <c r="F4" t="str">
        <f>IF(OR(Pool_Play!D7="",Pool_Play!F7=""),"",Pool_Play!D7&amp;"-"&amp;Pool_Play!F7)</f>
        <v>28-30</v>
      </c>
      <c r="G4" t="str">
        <f>Pool_Play!E7</f>
        <v>WFU</v>
      </c>
    </row>
    <row r="5" spans="1:7" x14ac:dyDescent="0.25">
      <c r="A5" t="s">
        <v>54</v>
      </c>
      <c r="B5" t="str">
        <f>Pool_Play!C8</f>
        <v>Chapel Hill Blues</v>
      </c>
      <c r="C5" t="str">
        <f>IF(OR(Pool_Play!D8="",Pool_Play!F8=""),"",Pool_Play!D8&amp;"-"&amp;Pool_Play!F8)</f>
        <v>35-24</v>
      </c>
      <c r="D5" t="str">
        <f>Pool_Play!E8</f>
        <v>Triad Titans</v>
      </c>
      <c r="E5" t="str">
        <f>Pool_Play!C9</f>
        <v>Clemson B</v>
      </c>
      <c r="F5" t="str">
        <f>IF(OR(Pool_Play!D9="",Pool_Play!F9=""),"",Pool_Play!D9&amp;"-"&amp;Pool_Play!F9)</f>
        <v>9-25</v>
      </c>
      <c r="G5" t="str">
        <f>Pool_Play!E9</f>
        <v>Lander</v>
      </c>
    </row>
    <row r="6" spans="1:7" x14ac:dyDescent="0.25">
      <c r="A6" t="s">
        <v>55</v>
      </c>
      <c r="B6" t="str">
        <f>Pool_Play!C10</f>
        <v>Clemson A</v>
      </c>
      <c r="C6" t="str">
        <f>IF(OR(Pool_Play!D10="",Pool_Play!F10=""),"",Pool_Play!D10&amp;"-"&amp;Pool_Play!F10)</f>
        <v>20-8</v>
      </c>
      <c r="D6" t="str">
        <f>Pool_Play!E10</f>
        <v>Duke</v>
      </c>
      <c r="E6" t="str">
        <f>Pool_Play!C11</f>
        <v>Appstate</v>
      </c>
      <c r="F6" t="str">
        <f>IF(OR(Pool_Play!D11="",Pool_Play!F11=""),"",Pool_Play!D11&amp;"-"&amp;Pool_Play!F11)</f>
        <v>7-9</v>
      </c>
      <c r="G6" t="str">
        <f>Pool_Play!E11</f>
        <v>Vtech B</v>
      </c>
    </row>
    <row r="7" spans="1:7" x14ac:dyDescent="0.25">
      <c r="A7" t="s">
        <v>56</v>
      </c>
      <c r="B7" t="str">
        <f>Pool_Play!C12</f>
        <v>Triad Titans</v>
      </c>
      <c r="C7" t="str">
        <f>IF(OR(Pool_Play!D12="",Pool_Play!F12=""),"",Pool_Play!D12&amp;"-"&amp;Pool_Play!F12)</f>
        <v>13-14</v>
      </c>
      <c r="D7" t="str">
        <f>Pool_Play!E12</f>
        <v>Greensboro Grit</v>
      </c>
      <c r="E7" t="str">
        <f>Pool_Play!C13</f>
        <v>Clemson B</v>
      </c>
      <c r="F7" t="str">
        <f>IF(OR(Pool_Play!D13="",Pool_Play!F13=""),"",Pool_Play!D13&amp;"-"&amp;Pool_Play!F13)</f>
        <v>23-26</v>
      </c>
      <c r="G7" t="str">
        <f>Pool_Play!E13</f>
        <v>Outer Banks Orcas</v>
      </c>
    </row>
    <row r="8" spans="1:7" x14ac:dyDescent="0.25">
      <c r="A8" t="s">
        <v>57</v>
      </c>
      <c r="B8" t="str">
        <f>Pool_Play!C14</f>
        <v>Emory and Henry</v>
      </c>
      <c r="C8" t="str">
        <f>IF(OR(Pool_Play!D14="",Pool_Play!F14=""),"",Pool_Play!D14&amp;"-"&amp;Pool_Play!F14)</f>
        <v>7-24</v>
      </c>
      <c r="D8" t="str">
        <f>Pool_Play!E14</f>
        <v>WFU</v>
      </c>
      <c r="E8" t="str">
        <f>Pool_Play!C15</f>
        <v>Elon</v>
      </c>
      <c r="F8" t="str">
        <f>IF(OR(Pool_Play!D15="",Pool_Play!F15=""),"",Pool_Play!D15&amp;"-"&amp;Pool_Play!F15)</f>
        <v>13-29</v>
      </c>
      <c r="G8" t="str">
        <f>Pool_Play!E15</f>
        <v>Lander</v>
      </c>
    </row>
    <row r="9" spans="1:7" x14ac:dyDescent="0.25">
      <c r="A9" t="s">
        <v>58</v>
      </c>
      <c r="B9" t="str">
        <f>Pool_Play!C16</f>
        <v>Emory and Henry</v>
      </c>
      <c r="C9" t="str">
        <f>IF(OR(Pool_Play!D16="",Pool_Play!F16=""),"",Pool_Play!D16&amp;"-"&amp;Pool_Play!F16)</f>
        <v>27-29</v>
      </c>
      <c r="D9" t="str">
        <f>Pool_Play!E16</f>
        <v>Vtech B</v>
      </c>
      <c r="E9" t="str">
        <f>Pool_Play!C17</f>
        <v>Elon</v>
      </c>
      <c r="F9" t="str">
        <f>IF(OR(Pool_Play!D17="",Pool_Play!F17=""),"",Pool_Play!D17&amp;"-"&amp;Pool_Play!F17)</f>
        <v>24-20</v>
      </c>
      <c r="G9" t="str">
        <f>Pool_Play!E17</f>
        <v>Outer Banks Orcas</v>
      </c>
    </row>
    <row r="10" spans="1:7" x14ac:dyDescent="0.25">
      <c r="A10" t="s">
        <v>59</v>
      </c>
      <c r="B10" t="str">
        <f>Pool_Play!C18</f>
        <v>WFU</v>
      </c>
      <c r="C10" t="str">
        <f>IF(OR(Pool_Play!D18="",Pool_Play!F18=""),"",Pool_Play!D18&amp;"-"&amp;Pool_Play!F18)</f>
        <v>14-21</v>
      </c>
      <c r="D10" t="str">
        <f>Pool_Play!E18</f>
        <v>Vtech B</v>
      </c>
      <c r="E10" t="str">
        <f>Pool_Play!C19</f>
        <v>Lander</v>
      </c>
      <c r="F10" t="str">
        <f>IF(OR(Pool_Play!D19="",Pool_Play!F19=""),"",Pool_Play!D19&amp;"-"&amp;Pool_Play!F19)</f>
        <v>25-15</v>
      </c>
      <c r="G10" t="str">
        <f>Pool_Play!E19</f>
        <v>Outer Banks Orcas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Teams</vt:lpstr>
      <vt:lpstr>Pool_Play</vt:lpstr>
      <vt:lpstr>Standings</vt:lpstr>
      <vt:lpstr>Championship</vt:lpstr>
      <vt:lpstr>Bracket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Diaz, Jonathan Harvey</cp:lastModifiedBy>
  <dcterms:created xsi:type="dcterms:W3CDTF">2026-01-01T22:21:08Z</dcterms:created>
  <dcterms:modified xsi:type="dcterms:W3CDTF">2026-01-01T22:22:21Z</dcterms:modified>
</cp:coreProperties>
</file>